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filterPrivacy="1"/>
  <bookViews>
    <workbookView windowHeight="8010" windowWidth="14805" xWindow="240" yWindow="105"/>
  </bookViews>
  <sheets>
    <sheet name="工作表1" r:id="rId1" sheetId="1"/>
  </sheets>
  <definedNames>
    <definedName localSheetId="0" name="_xlnm.Print_Area">工作表1!$A:$F</definedName>
  </definedNames>
  <calcPr calcId="125725"/>
</workbook>
</file>

<file path=xl/sharedStrings.xml><?xml version="1.0" encoding="utf-8"?>
<sst xmlns="http://schemas.openxmlformats.org/spreadsheetml/2006/main" count="221" uniqueCount="41">
  <si>
    <t>歷年中華民國國民出國人次按性別分
Outbound Departures of Nationals of the 
Republic of China by Gender</t>
    <phoneticPr fontId="3" type="noConversion"/>
  </si>
  <si>
    <t>年度
Year</t>
  </si>
  <si>
    <r>
      <t xml:space="preserve">合計
</t>
    </r>
    <r>
      <rPr>
        <sz val="12"/>
        <rFont val="Times New Roman"/>
        <family val="1"/>
      </rPr>
      <t>Total</t>
    </r>
    <phoneticPr fontId="3" type="noConversion"/>
  </si>
  <si>
    <r>
      <t>男</t>
    </r>
    <r>
      <rPr>
        <sz val="12"/>
        <rFont val="Times New Roman"/>
        <family val="1"/>
      </rPr>
      <t xml:space="preserve">  Male</t>
    </r>
    <phoneticPr fontId="3" type="noConversion"/>
  </si>
  <si>
    <r>
      <t>女</t>
    </r>
    <r>
      <rPr>
        <sz val="12"/>
        <rFont val="Times New Roman"/>
        <family val="1"/>
      </rPr>
      <t xml:space="preserve">  Female</t>
    </r>
    <phoneticPr fontId="3" type="noConversion"/>
  </si>
  <si>
    <t>人次
No. of Visitors</t>
  </si>
  <si>
    <r>
      <t xml:space="preserve">佔合計百分比
</t>
    </r>
    <r>
      <rPr>
        <sz val="12"/>
        <rFont val="Times New Roman"/>
        <family val="1"/>
      </rPr>
      <t>% of Total</t>
    </r>
    <phoneticPr fontId="3" type="noConversion"/>
  </si>
  <si>
    <r>
      <t xml:space="preserve">佔合計百分比
</t>
    </r>
    <r>
      <rPr>
        <sz val="12"/>
        <rFont val="Times New Roman"/>
        <family val="1"/>
      </rPr>
      <t>% of Total</t>
    </r>
    <phoneticPr fontId="3" type="noConversion"/>
  </si>
  <si>
    <t/>
  </si>
  <si>
    <t>83 年 1994</t>
  </si>
  <si>
    <t>84 年 1995</t>
  </si>
  <si>
    <t>85 年 1996</t>
  </si>
  <si>
    <t>86 年 1997</t>
  </si>
  <si>
    <t>87 年 1998</t>
  </si>
  <si>
    <t>88 年 1999</t>
  </si>
  <si>
    <t>89 年 2000</t>
  </si>
  <si>
    <t>90 年 2001</t>
  </si>
  <si>
    <t>91 年 2002</t>
  </si>
  <si>
    <t>92 年 2003</t>
  </si>
  <si>
    <t>93 年 2004</t>
  </si>
  <si>
    <t>94 年 2005</t>
  </si>
  <si>
    <t>95 年 2006</t>
  </si>
  <si>
    <t>96 年 2007</t>
  </si>
  <si>
    <t>97 年 2008</t>
  </si>
  <si>
    <t>98 年 2009</t>
  </si>
  <si>
    <t>99 年 2010</t>
  </si>
  <si>
    <t>100 年 2011</t>
  </si>
  <si>
    <t>101 年 2012</t>
  </si>
  <si>
    <t>102 年 2013</t>
  </si>
  <si>
    <t>103 年 2014</t>
  </si>
  <si>
    <t>104 年 2015</t>
  </si>
  <si>
    <t>105 年 2016</t>
  </si>
  <si>
    <t>106 年 2017</t>
  </si>
  <si>
    <t>107 年 2018</t>
  </si>
  <si>
    <t>108 年 2019</t>
  </si>
  <si>
    <t>109 年 2020</t>
  </si>
  <si>
    <t>110 年 2021</t>
  </si>
  <si>
    <t>111 年 2022</t>
  </si>
  <si>
    <t>112 年 2023</t>
  </si>
  <si>
    <t>113 年 2024</t>
  </si>
  <si>
    <t>註1: 90~92年全年及各月入出國旅客人數係依據內政部警政署函送追溯修正資料並奉行政院主計處92年11月10日處仁四字第0920006945號函暨 93年7月6日處仁七字第0930004287號函核定後更正。
註2:資料來源:內政部移民署提供。
註3:自民國78年7月開始實施兒童申請護照規定，之前未滿16歲兒童以加簽方式入出境者列入隨行人員。
Note 1: The monthly/annual inbound/outbound passenger data 2011-2013 is based on retrospective correction data provided National Police Agency, Ministry of the Interior. This was submitted to the Directorate General of Budget, Accounting and Statistics (DGBAS), Executive Yuan on November 10, 2013. DGBAS subsequently published documents #0920006945 and 0930004287 with corrected and approved data on July 6, 2014.
Note 2: Source: National Immigration Agency, Ministry of the Interior.
Note 3: Since July 1989, the regulations for children to apply for passports have been implemented. Prior to that time, children under the age of 16 are allowed to enter and exit the country with a visa tagged on to that of an adult in their entourage.</t>
  </si>
</sst>
</file>

<file path=xl/styles.xml><?xml version="1.0" encoding="utf-8"?>
<styleSheet xmlns="http://schemas.openxmlformats.org/spreadsheetml/2006/main">
  <numFmts count="2">
    <numFmt numFmtId="41" formatCode="_-* #,##0_-;\-* #,##0_-;_-* &quot;-&quot;_-;_-@_-"/>
    <numFmt numFmtId="43" formatCode="_-* #,##0.00_-;\-* #,##0.00_-;_-* &quot;-&quot;??_-;_-@_-"/>
  </numFmts>
  <fonts count="7">
    <font>
      <sz val="12"/>
      <color theme="1"/>
      <name val="新細明體"/>
      <family val="2"/>
      <scheme val="minor"/>
    </font>
    <font>
      <b/>
      <sz val="16"/>
      <name val="標楷體"/>
      <family val="4"/>
      <charset val="136"/>
    </font>
    <font>
      <sz val="9"/>
      <name val="新細明體"/>
      <family val="3"/>
      <charset val="136"/>
      <scheme val="minor"/>
    </font>
    <font>
      <sz val="9"/>
      <name val="新細明體"/>
      <family val="1"/>
      <charset val="136"/>
    </font>
    <font>
      <sz val="12"/>
      <name val="新細明體"/>
      <family val="1"/>
      <charset val="136"/>
    </font>
    <font>
      <sz val="12"/>
      <name val="Times New Roman"/>
      <family val="1"/>
    </font>
    <font>
      <name val="新細明體"/>
      <sz val="9.0"/>
      <color indexed="8"/>
      <u val="none"/>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borderId="0" fillId="0" fontId="0" numFmtId="0"/>
  </cellStyleXfs>
  <cellXfs count="11">
    <xf borderId="0" fillId="0" fontId="0" numFmtId="0" xfId="0"/>
    <xf applyAlignment="1" applyBorder="1" applyFont="1" borderId="3" fillId="0" fontId="4" numFmtId="0" xfId="0">
      <alignment horizontal="center" vertical="center" wrapText="1"/>
    </xf>
    <xf applyAlignment="1" applyBorder="1" applyFont="1" borderId="1" fillId="0" fontId="1" numFmtId="0" xfId="0">
      <alignment horizontal="center" vertical="center" wrapText="1"/>
    </xf>
    <xf applyAlignment="1" applyBorder="1" applyFont="1" borderId="2" fillId="0" fontId="4" numFmtId="0" xfId="0">
      <alignment horizontal="center" vertical="center" wrapText="1"/>
    </xf>
    <xf applyAlignment="1" applyBorder="1" applyFont="1" borderId="4" fillId="0" fontId="4" numFmtId="0" xfId="0">
      <alignment horizontal="center" vertical="center" wrapText="1"/>
    </xf>
    <xf applyAlignment="1" applyBorder="1" applyFont="1" borderId="3" fillId="0" fontId="4" numFmtId="0" xfId="0">
      <alignment horizontal="center" vertical="center" wrapText="1"/>
    </xf>
    <xf applyAlignment="1" applyBorder="1" applyFont="1" borderId="3" fillId="0" fontId="4" numFmtId="0" xfId="0">
      <alignment horizontal="center" vertical="center"/>
    </xf>
    <xf applyAlignment="1" applyFont="1" borderId="0" fillId="0" fontId="4" numFmtId="0" xfId="0">
      <alignment horizontal="center" vertical="center"/>
    </xf>
    <xf applyAlignment="1" applyFont="1" applyNumberFormat="1" borderId="0" fillId="0" fontId="4" numFmtId="41" xfId="0">
      <alignment vertical="center"/>
    </xf>
    <xf applyAlignment="1" applyFont="1" applyNumberFormat="1" borderId="0" fillId="0" fontId="4" numFmtId="43" xfId="0">
      <alignment vertical="center"/>
    </xf>
    <xf numFmtId="0" fontId="6" fillId="0" borderId="0" xfId="0" applyFont="true">
      <alignment wrapText="true" vertical="top" horizontal="left"/>
    </xf>
  </cellXfs>
  <cellStyles count="1">
    <cellStyle builtinId="0" name="一般" xf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a="http://schemas.openxmlformats.org/drawingml/2006/main" xmlns:xdr="http://schemas.openxmlformats.org/drawingml/2006/spreadsheetDrawing">
  <xdr:twoCellAnchor>
    <xdr:from>
      <xdr:col>5</xdr:col>
      <xdr:colOff>217170</xdr:colOff>
      <xdr:row>0</xdr:row>
      <xdr:rowOff>609600</xdr:rowOff>
    </xdr:from>
    <xdr:to>
      <xdr:col>5</xdr:col>
      <xdr:colOff>1064895</xdr:colOff>
      <xdr:row>0</xdr:row>
      <xdr:rowOff>990600</xdr:rowOff>
    </xdr:to>
    <xdr:sp macro="" textlink="">
      <xdr:nvSpPr>
        <xdr:cNvPr id="2" name="Text Box 1"/>
        <xdr:cNvSpPr txBox="1">
          <a:spLocks noChangeArrowheads="1"/>
        </xdr:cNvSpPr>
      </xdr:nvSpPr>
      <xdr:spPr bwMode="auto">
        <a:xfrm>
          <a:off x="5141595" y="609600"/>
          <a:ext cx="847725" cy="381000"/>
        </a:xfrm>
        <a:prstGeom prst="rect">
          <a:avLst/>
        </a:prstGeom>
        <a:solidFill>
          <a:srgbClr val="FFFFFF"/>
        </a:solidFill>
        <a:ln>
          <a:noFill/>
        </a:ln>
        <a:extLst/>
      </xdr:spPr>
      <xdr:txBody>
        <a:bodyPr anchor="t" bIns="0" lIns="27432" rIns="0" tIns="27432" upright="1" vertOverflow="clip" wrap="square"/>
        <a:lstStyle/>
        <a:p>
          <a:pPr algn="l" rtl="0">
            <a:defRPr sz="1000"/>
          </a:pPr>
          <a:r>
            <a:rPr altLang="en-US" b="0" baseline="0" i="0" lang="zh-TW" strike="noStrike" sz="1000" u="none">
              <a:solidFill>
                <a:srgbClr val="000000"/>
              </a:solidFill>
              <a:latin typeface="新細明體"/>
              <a:ea typeface="新細明體"/>
            </a:rPr>
            <a:t>單位:人次</a:t>
          </a:r>
        </a:p>
        <a:p>
          <a:pPr algn="l" rtl="0">
            <a:defRPr sz="1000"/>
          </a:pPr>
          <a:r>
            <a:rPr altLang="en-US" b="0" baseline="0" i="0" lang="zh-TW" strike="noStrike" sz="10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G36"/>
  <sheetViews>
    <sheetView tabSelected="1" workbookViewId="0">
      <pane activePane="bottomRight" state="frozen" topLeftCell="B4" xSplit="1" ySplit="3"/>
      <selection activeCell="B1" pane="topRight" sqref="B1"/>
      <selection activeCell="A4" pane="bottomLeft" sqref="A4"/>
      <selection activeCell="B6" pane="bottomRight" sqref="B6"/>
    </sheetView>
  </sheetViews>
  <sheetFormatPr defaultRowHeight="16.5"/>
  <cols>
    <col min="1" max="1" customWidth="true" width="11.625" collapsed="false"/>
    <col min="2" max="2" customWidth="true" width="15.125" collapsed="false"/>
    <col min="3" max="3" customWidth="true" width="15.5" collapsed="false"/>
    <col min="4" max="4" customWidth="true" width="14.0" collapsed="false"/>
    <col min="5" max="5" customWidth="true" width="15.625" collapsed="false"/>
    <col min="6" max="6" customWidth="true" width="14.875" collapsed="false"/>
  </cols>
  <sheetData>
    <row customHeight="1" ht="80.099999999999994" r="1" spans="1:6">
      <c r="A1" s="2" t="s">
        <v>0</v>
      </c>
      <c r="B1" s="2"/>
      <c r="C1" s="2"/>
      <c r="D1" s="2"/>
      <c r="E1" s="2"/>
      <c r="F1" s="2"/>
    </row>
    <row r="2" spans="1:6">
      <c r="A2" s="3" t="s">
        <v>1</v>
      </c>
      <c r="B2" s="5" t="s">
        <v>2</v>
      </c>
      <c r="C2" s="6" t="s">
        <v>3</v>
      </c>
      <c r="D2" s="6"/>
      <c r="E2" s="5" t="s">
        <v>4</v>
      </c>
      <c r="F2" s="5"/>
    </row>
    <row customHeight="1" ht="33" r="3" spans="1:6">
      <c r="A3" s="4"/>
      <c r="B3" s="5"/>
      <c r="C3" s="1" t="s">
        <v>5</v>
      </c>
      <c r="D3" s="1" t="s">
        <v>6</v>
      </c>
      <c r="E3" s="1" t="s">
        <v>5</v>
      </c>
      <c r="F3" s="1" t="s">
        <v>7</v>
      </c>
    </row>
    <row r="4" spans="1:6">
      <c r="A4" s="7" t="s">
        <v>9</v>
      </c>
      <c r="B4" s="8" t="n">
        <f>C4+E4</f>
        <v>4744434.0</v>
      </c>
      <c r="C4" s="8" t="n">
        <v>2670349.0</v>
      </c>
      <c r="D4" s="9" t="n">
        <f>IF(B4&lt;&gt;0,C4/B4*100,0)</f>
        <v>56.283826479618014</v>
      </c>
      <c r="E4" s="8" t="n">
        <v>2074085.0</v>
      </c>
      <c r="F4" s="9" t="n">
        <f>IF(B4&lt;&gt;0,E4/B4*100,0)</f>
        <v>43.71617352038199</v>
      </c>
    </row>
    <row r="5">
      <c r="A5" s="7" t="s">
        <v>10</v>
      </c>
      <c r="B5" s="8" t="n">
        <f>C5+E5</f>
        <v>5188658.0</v>
      </c>
      <c r="C5" s="8" t="n">
        <v>2936069.0</v>
      </c>
      <c r="D5" s="9" t="n">
        <f>IF(B5&lt;&gt;0,C5/B5*100,0)</f>
        <v>56.586288786040626</v>
      </c>
      <c r="E5" s="8" t="n">
        <v>2252589.0</v>
      </c>
      <c r="F5" s="9" t="n">
        <f>IF(B5&lt;&gt;0,E5/B5*100,0)</f>
        <v>43.413711213959374</v>
      </c>
    </row>
    <row r="6">
      <c r="A6" s="7" t="s">
        <v>11</v>
      </c>
      <c r="B6" s="8" t="n">
        <f>C6+E6</f>
        <v>5713535.0</v>
      </c>
      <c r="C6" s="8" t="n">
        <v>3220647.0</v>
      </c>
      <c r="D6" s="9" t="n">
        <f>IF(B6&lt;&gt;0,C6/B6*100,0)</f>
        <v>56.36872794163333</v>
      </c>
      <c r="E6" s="8" t="n">
        <v>2492888.0</v>
      </c>
      <c r="F6" s="9" t="n">
        <f>IF(B6&lt;&gt;0,E6/B6*100,0)</f>
        <v>43.63127205836667</v>
      </c>
    </row>
    <row r="7">
      <c r="A7" s="7" t="s">
        <v>12</v>
      </c>
      <c r="B7" s="8" t="n">
        <f>C7+E7</f>
        <v>6161932.0</v>
      </c>
      <c r="C7" s="8" t="n">
        <v>3501660.0</v>
      </c>
      <c r="D7" s="9" t="n">
        <f>IF(B7&lt;&gt;0,C7/B7*100,0)</f>
        <v>56.827306760282326</v>
      </c>
      <c r="E7" s="8" t="n">
        <v>2660272.0</v>
      </c>
      <c r="F7" s="9" t="n">
        <f>IF(B7&lt;&gt;0,E7/B7*100,0)</f>
        <v>43.172693239717674</v>
      </c>
    </row>
    <row r="8">
      <c r="A8" s="7" t="s">
        <v>13</v>
      </c>
      <c r="B8" s="8" t="n">
        <f>C8+E8</f>
        <v>5912383.0</v>
      </c>
      <c r="C8" s="8" t="n">
        <v>3450728.0</v>
      </c>
      <c r="D8" s="9" t="n">
        <f>IF(B8&lt;&gt;0,C8/B8*100,0)</f>
        <v>58.36441921979683</v>
      </c>
      <c r="E8" s="8" t="n">
        <v>2461655.0</v>
      </c>
      <c r="F8" s="9" t="n">
        <f>IF(B8&lt;&gt;0,E8/B8*100,0)</f>
        <v>41.63558078020318</v>
      </c>
    </row>
    <row r="9">
      <c r="A9" s="7" t="s">
        <v>14</v>
      </c>
      <c r="B9" s="8" t="n">
        <f>C9+E9</f>
        <v>6558663.0</v>
      </c>
      <c r="C9" s="8" t="n">
        <v>3800130.0</v>
      </c>
      <c r="D9" s="9" t="n">
        <f>IF(B9&lt;&gt;0,C9/B9*100,0)</f>
        <v>57.94061990988102</v>
      </c>
      <c r="E9" s="8" t="n">
        <v>2758533.0</v>
      </c>
      <c r="F9" s="9" t="n">
        <f>IF(B9&lt;&gt;0,E9/B9*100,0)</f>
        <v>42.05938009011898</v>
      </c>
    </row>
    <row r="10">
      <c r="A10" s="7" t="s">
        <v>15</v>
      </c>
      <c r="B10" s="8" t="n">
        <f>C10+E10</f>
        <v>7328784.0</v>
      </c>
      <c r="C10" s="8" t="n">
        <v>4255656.0</v>
      </c>
      <c r="D10" s="9" t="n">
        <f>IF(B10&lt;&gt;0,C10/B10*100,0)</f>
        <v>58.067695814203276</v>
      </c>
      <c r="E10" s="8" t="n">
        <v>3073128.0</v>
      </c>
      <c r="F10" s="9" t="n">
        <f>IF(B10&lt;&gt;0,E10/B10*100,0)</f>
        <v>41.93230418579672</v>
      </c>
    </row>
    <row r="11">
      <c r="A11" s="7" t="s">
        <v>16</v>
      </c>
      <c r="B11" s="8" t="n">
        <f>C11+E11</f>
        <v>7152877.0</v>
      </c>
      <c r="C11" s="8" t="n">
        <v>4217337.0</v>
      </c>
      <c r="D11" s="9" t="n">
        <f>IF(B11&lt;&gt;0,C11/B11*100,0)</f>
        <v>58.9600100770641</v>
      </c>
      <c r="E11" s="8" t="n">
        <v>2935540.0</v>
      </c>
      <c r="F11" s="9" t="n">
        <f>IF(B11&lt;&gt;0,E11/B11*100,0)</f>
        <v>41.0399899229359</v>
      </c>
    </row>
    <row r="12">
      <c r="A12" s="7" t="s">
        <v>17</v>
      </c>
      <c r="B12" s="8" t="n">
        <f>C12+E12</f>
        <v>7319466.0</v>
      </c>
      <c r="C12" s="8" t="n">
        <v>4279841.0</v>
      </c>
      <c r="D12" s="9" t="n">
        <f>IF(B12&lt;&gt;0,C12/B12*100,0)</f>
        <v>58.472038807202594</v>
      </c>
      <c r="E12" s="8" t="n">
        <v>3039625.0</v>
      </c>
      <c r="F12" s="9" t="n">
        <f>IF(B12&lt;&gt;0,E12/B12*100,0)</f>
        <v>41.5279611927974</v>
      </c>
    </row>
    <row r="13">
      <c r="A13" s="7" t="s">
        <v>18</v>
      </c>
      <c r="B13" s="8" t="n">
        <f>C13+E13</f>
        <v>5923072.0</v>
      </c>
      <c r="C13" s="8" t="n">
        <v>3502264.0</v>
      </c>
      <c r="D13" s="9" t="n">
        <f>IF(B13&lt;&gt;0,C13/B13*100,0)</f>
        <v>59.129181613865235</v>
      </c>
      <c r="E13" s="8" t="n">
        <v>2420808.0</v>
      </c>
      <c r="F13" s="9" t="n">
        <f>IF(B13&lt;&gt;0,E13/B13*100,0)</f>
        <v>40.87081838613476</v>
      </c>
    </row>
    <row r="14">
      <c r="A14" s="7" t="s">
        <v>19</v>
      </c>
      <c r="B14" s="8" t="n">
        <f>C14+E14</f>
        <v>7780652.0</v>
      </c>
      <c r="C14" s="8" t="n">
        <v>4518972.0</v>
      </c>
      <c r="D14" s="9" t="n">
        <f>IF(B14&lt;&gt;0,C14/B14*100,0)</f>
        <v>58.079605668008284</v>
      </c>
      <c r="E14" s="8" t="n">
        <v>3261680.0</v>
      </c>
      <c r="F14" s="9" t="n">
        <f>IF(B14&lt;&gt;0,E14/B14*100,0)</f>
        <v>41.920394331991716</v>
      </c>
    </row>
    <row r="15">
      <c r="A15" s="7" t="s">
        <v>20</v>
      </c>
      <c r="B15" s="8" t="n">
        <f>C15+E15</f>
        <v>8208125.0</v>
      </c>
      <c r="C15" s="8" t="n">
        <v>4761492.0</v>
      </c>
      <c r="D15" s="9" t="n">
        <f>IF(B15&lt;&gt;0,C15/B15*100,0)</f>
        <v>58.00949668773319</v>
      </c>
      <c r="E15" s="8" t="n">
        <v>3446633.0</v>
      </c>
      <c r="F15" s="9" t="n">
        <f>IF(B15&lt;&gt;0,E15/B15*100,0)</f>
        <v>41.99050331226681</v>
      </c>
    </row>
    <row r="16">
      <c r="A16" s="7" t="s">
        <v>21</v>
      </c>
      <c r="B16" s="8" t="n">
        <f>C16+E16</f>
        <v>8671375.0</v>
      </c>
      <c r="C16" s="8" t="n">
        <v>4954647.0</v>
      </c>
      <c r="D16" s="9" t="n">
        <f>IF(B16&lt;&gt;0,C16/B16*100,0)</f>
        <v>57.137962549192025</v>
      </c>
      <c r="E16" s="8" t="n">
        <v>3716728.0</v>
      </c>
      <c r="F16" s="9" t="n">
        <f>IF(B16&lt;&gt;0,E16/B16*100,0)</f>
        <v>42.862037450807975</v>
      </c>
    </row>
    <row r="17">
      <c r="A17" s="7" t="s">
        <v>22</v>
      </c>
      <c r="B17" s="8" t="n">
        <f>C17+E17</f>
        <v>8963712.0</v>
      </c>
      <c r="C17" s="8" t="n">
        <v>5083013.0</v>
      </c>
      <c r="D17" s="9" t="n">
        <f>IF(B17&lt;&gt;0,C17/B17*100,0)</f>
        <v>56.706563084579244</v>
      </c>
      <c r="E17" s="8" t="n">
        <v>3880699.0</v>
      </c>
      <c r="F17" s="9" t="n">
        <f>IF(B17&lt;&gt;0,E17/B17*100,0)</f>
        <v>43.29343691542075</v>
      </c>
    </row>
    <row r="18">
      <c r="A18" s="7" t="s">
        <v>23</v>
      </c>
      <c r="B18" s="8" t="n">
        <f>C18+E18</f>
        <v>8465172.0</v>
      </c>
      <c r="C18" s="8" t="n">
        <v>4835437.0</v>
      </c>
      <c r="D18" s="9" t="n">
        <f>IF(B18&lt;&gt;0,C18/B18*100,0)</f>
        <v>57.121544606536055</v>
      </c>
      <c r="E18" s="8" t="n">
        <v>3629735.0</v>
      </c>
      <c r="F18" s="9" t="n">
        <f>IF(B18&lt;&gt;0,E18/B18*100,0)</f>
        <v>42.87845539346395</v>
      </c>
    </row>
    <row r="19">
      <c r="A19" s="7" t="s">
        <v>24</v>
      </c>
      <c r="B19" s="8" t="n">
        <f>C19+E19</f>
        <v>8142946.0</v>
      </c>
      <c r="C19" s="8" t="n">
        <v>4628499.0</v>
      </c>
      <c r="D19" s="9" t="n">
        <f>IF(B19&lt;&gt;0,C19/B19*100,0)</f>
        <v>56.84059552894002</v>
      </c>
      <c r="E19" s="8" t="n">
        <v>3514447.0</v>
      </c>
      <c r="F19" s="9" t="n">
        <f>IF(B19&lt;&gt;0,E19/B19*100,0)</f>
        <v>43.15940447105998</v>
      </c>
    </row>
    <row r="20">
      <c r="A20" s="7" t="s">
        <v>25</v>
      </c>
      <c r="B20" s="8" t="n">
        <f>C20+E20</f>
        <v>9415074.0</v>
      </c>
      <c r="C20" s="8" t="n">
        <v>5222821.0</v>
      </c>
      <c r="D20" s="9" t="n">
        <f>IF(B20&lt;&gt;0,C20/B20*100,0)</f>
        <v>55.47296813599129</v>
      </c>
      <c r="E20" s="8" t="n">
        <v>4192253.0</v>
      </c>
      <c r="F20" s="9" t="n">
        <f>IF(B20&lt;&gt;0,E20/B20*100,0)</f>
        <v>44.52703186400871</v>
      </c>
    </row>
    <row r="21">
      <c r="A21" s="7" t="s">
        <v>26</v>
      </c>
      <c r="B21" s="8" t="n">
        <f>C21+E21</f>
        <v>9583873.0</v>
      </c>
      <c r="C21" s="8" t="n">
        <v>5300378.0</v>
      </c>
      <c r="D21" s="9" t="n">
        <f>IF(B21&lt;&gt;0,C21/B21*100,0)</f>
        <v>55.30517777103265</v>
      </c>
      <c r="E21" s="8" t="n">
        <v>4283495.0</v>
      </c>
      <c r="F21" s="9" t="n">
        <f>IF(B21&lt;&gt;0,E21/B21*100,0)</f>
        <v>44.694822228967354</v>
      </c>
    </row>
    <row r="22">
      <c r="A22" s="7" t="s">
        <v>27</v>
      </c>
      <c r="B22" s="8" t="n">
        <f>C22+E22</f>
        <v>1.023976E7</v>
      </c>
      <c r="C22" s="8" t="n">
        <v>5547161.0</v>
      </c>
      <c r="D22" s="9" t="n">
        <f>IF(B22&lt;&gt;0,C22/B22*100,0)</f>
        <v>54.172763814776914</v>
      </c>
      <c r="E22" s="8" t="n">
        <v>4692599.0</v>
      </c>
      <c r="F22" s="9" t="n">
        <f>IF(B22&lt;&gt;0,E22/B22*100,0)</f>
        <v>45.82723618522309</v>
      </c>
    </row>
    <row r="23">
      <c r="A23" s="7" t="s">
        <v>28</v>
      </c>
      <c r="B23" s="8" t="n">
        <f>C23+E23</f>
        <v>1.1052908E7</v>
      </c>
      <c r="C23" s="8" t="n">
        <v>5863157.0</v>
      </c>
      <c r="D23" s="9" t="n">
        <f>IF(B23&lt;&gt;0,C23/B23*100,0)</f>
        <v>53.046284290070986</v>
      </c>
      <c r="E23" s="8" t="n">
        <v>5189751.0</v>
      </c>
      <c r="F23" s="9" t="n">
        <f>IF(B23&lt;&gt;0,E23/B23*100,0)</f>
        <v>46.95371570992901</v>
      </c>
    </row>
    <row r="24">
      <c r="A24" s="7" t="s">
        <v>29</v>
      </c>
      <c r="B24" s="8" t="n">
        <f>C24+E24</f>
        <v>1.1844635E7</v>
      </c>
      <c r="C24" s="8" t="n">
        <v>6188931.0</v>
      </c>
      <c r="D24" s="9" t="n">
        <f>IF(B24&lt;&gt;0,C24/B24*100,0)</f>
        <v>52.25092204192025</v>
      </c>
      <c r="E24" s="8" t="n">
        <v>5655704.0</v>
      </c>
      <c r="F24" s="9" t="n">
        <f>IF(B24&lt;&gt;0,E24/B24*100,0)</f>
        <v>47.74907795807975</v>
      </c>
    </row>
    <row r="25">
      <c r="A25" s="7" t="s">
        <v>30</v>
      </c>
      <c r="B25" s="8" t="n">
        <f>C25+E25</f>
        <v>1.3182976E7</v>
      </c>
      <c r="C25" s="8" t="n">
        <v>6767955.0</v>
      </c>
      <c r="D25" s="9" t="n">
        <f>IF(B25&lt;&gt;0,C25/B25*100,0)</f>
        <v>51.338597597386205</v>
      </c>
      <c r="E25" s="8" t="n">
        <v>6415021.0</v>
      </c>
      <c r="F25" s="9" t="n">
        <f>IF(B25&lt;&gt;0,E25/B25*100,0)</f>
        <v>48.661402402613795</v>
      </c>
    </row>
    <row r="26">
      <c r="A26" s="7" t="s">
        <v>31</v>
      </c>
      <c r="B26" s="8" t="n">
        <f>C26+E26</f>
        <v>1.4588923E7</v>
      </c>
      <c r="C26" s="8" t="n">
        <v>7326824.0</v>
      </c>
      <c r="D26" s="9" t="n">
        <f>IF(B26&lt;&gt;0,C26/B26*100,0)</f>
        <v>50.22182926046015</v>
      </c>
      <c r="E26" s="8" t="n">
        <v>7262099.0</v>
      </c>
      <c r="F26" s="9" t="n">
        <f>IF(B26&lt;&gt;0,E26/B26*100,0)</f>
        <v>49.77817073953986</v>
      </c>
    </row>
    <row r="27">
      <c r="A27" s="7" t="s">
        <v>32</v>
      </c>
      <c r="B27" s="8" t="n">
        <f>C27+E27</f>
        <v>1.5654579E7</v>
      </c>
      <c r="C27" s="8" t="n">
        <v>7775669.0</v>
      </c>
      <c r="D27" s="9" t="n">
        <f>IF(B27&lt;&gt;0,C27/B27*100,0)</f>
        <v>49.67025302948102</v>
      </c>
      <c r="E27" s="8" t="n">
        <v>7878910.0</v>
      </c>
      <c r="F27" s="9" t="n">
        <f>IF(B27&lt;&gt;0,E27/B27*100,0)</f>
        <v>50.329746970518976</v>
      </c>
    </row>
    <row r="28">
      <c r="A28" s="7" t="s">
        <v>33</v>
      </c>
      <c r="B28" s="8" t="n">
        <f>C28+E28</f>
        <v>1.6644684E7</v>
      </c>
      <c r="C28" s="8" t="n">
        <v>8204781.0</v>
      </c>
      <c r="D28" s="9" t="n">
        <f>IF(B28&lt;&gt;0,C28/B28*100,0)</f>
        <v>49.29370242174619</v>
      </c>
      <c r="E28" s="8" t="n">
        <v>8439903.0</v>
      </c>
      <c r="F28" s="9" t="n">
        <f>IF(B28&lt;&gt;0,E28/B28*100,0)</f>
        <v>50.70629757825381</v>
      </c>
    </row>
    <row r="29">
      <c r="A29" s="7" t="s">
        <v>34</v>
      </c>
      <c r="B29" s="8" t="n">
        <f>C29+E29</f>
        <v>1.7101335E7</v>
      </c>
      <c r="C29" s="8" t="n">
        <v>8364428.0</v>
      </c>
      <c r="D29" s="9" t="n">
        <f>IF(B29&lt;&gt;0,C29/B29*100,0)</f>
        <v>48.910965138101794</v>
      </c>
      <c r="E29" s="8" t="n">
        <v>8736907.0</v>
      </c>
      <c r="F29" s="9" t="n">
        <f>IF(B29&lt;&gt;0,E29/B29*100,0)</f>
        <v>51.089034861898206</v>
      </c>
    </row>
    <row r="30">
      <c r="A30" s="7" t="s">
        <v>35</v>
      </c>
      <c r="B30" s="8" t="n">
        <f>C30+E30</f>
        <v>2335564.0</v>
      </c>
      <c r="C30" s="8" t="n">
        <v>1174527.0</v>
      </c>
      <c r="D30" s="9" t="n">
        <f>IF(B30&lt;&gt;0,C30/B30*100,0)</f>
        <v>50.28879534022618</v>
      </c>
      <c r="E30" s="8" t="n">
        <v>1161037.0</v>
      </c>
      <c r="F30" s="9" t="n">
        <f>IF(B30&lt;&gt;0,E30/B30*100,0)</f>
        <v>49.71120465977383</v>
      </c>
    </row>
    <row r="31">
      <c r="A31" s="7" t="s">
        <v>36</v>
      </c>
      <c r="B31" s="8" t="n">
        <f>C31+E31</f>
        <v>359977.0</v>
      </c>
      <c r="C31" s="8" t="n">
        <v>203543.0</v>
      </c>
      <c r="D31" s="9" t="n">
        <f>IF(B31&lt;&gt;0,C31/B31*100,0)</f>
        <v>56.54333471305111</v>
      </c>
      <c r="E31" s="8" t="n">
        <v>156434.0</v>
      </c>
      <c r="F31" s="9" t="n">
        <f>IF(B31&lt;&gt;0,E31/B31*100,0)</f>
        <v>43.45666528694888</v>
      </c>
    </row>
    <row r="32">
      <c r="A32" s="7" t="s">
        <v>37</v>
      </c>
      <c r="B32" s="8" t="n">
        <f>C32+E32</f>
        <v>1482821.0</v>
      </c>
      <c r="C32" s="8" t="n">
        <v>736133.0</v>
      </c>
      <c r="D32" s="9" t="n">
        <f>IF(B32&lt;&gt;0,C32/B32*100,0)</f>
        <v>49.64409055442295</v>
      </c>
      <c r="E32" s="8" t="n">
        <v>746688.0</v>
      </c>
      <c r="F32" s="9" t="n">
        <f>IF(B32&lt;&gt;0,E32/B32*100,0)</f>
        <v>50.35590944557704</v>
      </c>
    </row>
    <row r="33">
      <c r="A33" s="7" t="s">
        <v>38</v>
      </c>
      <c r="B33" s="8" t="n">
        <f>C33+E33</f>
        <v>1.1795834E7</v>
      </c>
      <c r="C33" s="8" t="n">
        <v>5521711.0</v>
      </c>
      <c r="D33" s="9" t="n">
        <f>IF(B33&lt;&gt;0,C33/B33*100,0)</f>
        <v>46.81068756986576</v>
      </c>
      <c r="E33" s="8" t="n">
        <v>6274123.0</v>
      </c>
      <c r="F33" s="9" t="n">
        <f>IF(B33&lt;&gt;0,E33/B33*100,0)</f>
        <v>53.18931243013423</v>
      </c>
    </row>
    <row r="34">
      <c r="A34" s="7" t="s">
        <v>39</v>
      </c>
      <c r="B34" s="8" t="n">
        <f>C34+E34</f>
        <v>1.6849683E7</v>
      </c>
      <c r="C34" s="8" t="n">
        <v>7794211.0</v>
      </c>
      <c r="D34" s="9" t="n">
        <f>IF(B34&lt;&gt;0,C34/B34*100,0)</f>
        <v>46.25731534533914</v>
      </c>
      <c r="E34" s="8" t="n">
        <v>9055472.0</v>
      </c>
      <c r="F34" s="9" t="n">
        <f>IF(B34&lt;&gt;0,E34/B34*100,0)</f>
        <v>53.74268465466086</v>
      </c>
    </row>
    <row r="36" ht="125.0" customHeight="true">
      <c r="A36" t="s" s="10">
        <v>40</v>
      </c>
    </row>
  </sheetData>
  <mergeCells count="5">
    <mergeCell ref="A1:F1"/>
    <mergeCell ref="A2:A3"/>
    <mergeCell ref="B2:B3"/>
    <mergeCell ref="C2:D2"/>
    <mergeCell ref="E2:F2"/>
    <mergeCell ref="A36:F36"/>
  </mergeCells>
  <phoneticPr fontId="2" type="noConversion"/>
  <printOptions horizontalCentered="1"/>
  <pageMargins bottom="0.35433070866141736" footer="0.31496062992125984" header="0.31496062992125984" left="0.35433070866141736" right="0.31496062992125984" top="0.39370078740157483"/>
  <pageSetup orientation="portrait" paperSize="9"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工作表1</vt:lpstr>
      <vt:lpstr>工作表1!Print_Area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2018-09-28T07:41:34Z</dcterms:modified>
</cp:coreProperties>
</file>